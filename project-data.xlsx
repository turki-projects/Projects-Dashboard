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ki\Desktop\"/>
    </mc:Choice>
  </mc:AlternateContent>
  <bookViews>
    <workbookView xWindow="0" yWindow="0" windowWidth="19200" windowHeight="7125" tabRatio="611" activeTab="1"/>
  </bookViews>
  <sheets>
    <sheet name="تعليمات" sheetId="1" r:id="rId1"/>
    <sheet name="بيانات_المشاريع" sheetId="2" r:id="rId2"/>
    <sheet name="مستخلصات_ريف" sheetId="3" r:id="rId3"/>
    <sheet name="مستخلصات_اعتماد" sheetId="4" r:id="rId4"/>
    <sheet name="القوائم" sheetId="5" state="hidden" r:id="rId5"/>
    <sheet name="المناقلات" sheetId="6" r:id="rId6"/>
    <sheet name="المستحدثات" sheetId="7" r:id="rId7"/>
    <sheet name="المهام" sheetId="8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<sst xmlns="http://schemas.openxmlformats.org/spreadsheetml/2006/main" count="209" uniqueCount="145">
  <si>
    <t>لوحة متابعة مشاريع مراكز الخدمات التسويقية للمنتجات الزراعية</t>
  </si>
  <si>
    <t>كيفية استخدام هذا الملف:</t>
  </si>
  <si>
    <t>1) عدّل البيانات في الأوراق التالية: بيانات_المشاريع، مستخلصات_ريف، مستخلصات_اعتماد، المناقلات، المستحدثات، المهام.</t>
  </si>
  <si>
    <t>2) الخلايا ذات التظليل الأصفر الفاتح هي الخلايا المخصصة للتعديل العام.</t>
  </si>
  <si>
    <t>3) الخلايا ذات التظليل الأخضر الفاتح هي أعمدة الروابط (رابط المستند) — الصقها كرابط ويب كامل يبدأ بـ https:// (مثل رابط من ريف، أو ون درايف، أو قوقل درايف، أو شير بوينت).</t>
  </si>
  <si>
    <t>4) احفظ الملف بصيغة xlsx بعد التعديل.</t>
  </si>
  <si>
    <t>5) افتح ملف لوحة المتابعة (dashboard.html) واضغط زر «تحديث البيانات من ملف إكسل» ثم اختر هذا الملف بعد حفظه.</t>
  </si>
  <si>
    <t>6) ستتحدث اللوحة تلقائيًا بجميع الرسوم البيانية والجداول والروابط دون الحاجة لأي برمجة.</t>
  </si>
  <si>
    <t>ملاحظات هامة:</t>
  </si>
  <si>
    <t>- في ورقة «مستخلصات_ريف» اترك تاريخ أي مرحلة فارغًا إذا لم تصل إليها المعاملة بعد.</t>
  </si>
  <si>
    <t>- في ورقة «مستخلصات_اعتماد» اختر الحالة من القائمة المنسدلة فقط.</t>
  </si>
  <si>
    <t>- تأكد أن اسم المشروع في كل الأوراق مطابق تمامًا لاسمه في ورقة «بيانات_المشاريع» (العمود A).</t>
  </si>
  <si>
    <t>- أعمدة الروابط اختيارية: إن تُركت فارغة يظهر رمز المستند باهتًا وغير قابل للنقر في اللوحة.</t>
  </si>
  <si>
    <t>اسم المشروع (مفتاح)</t>
  </si>
  <si>
    <t>الاسم الكامل</t>
  </si>
  <si>
    <t>الاستشاري</t>
  </si>
  <si>
    <t>حالة المشروع</t>
  </si>
  <si>
    <t>تاريخ البداية</t>
  </si>
  <si>
    <t>تاريخ الإيقاف</t>
  </si>
  <si>
    <t>تاريخ الاستئناف</t>
  </si>
  <si>
    <t>مدة التمديد (أيام)</t>
  </si>
  <si>
    <t>تاريخ النهاية</t>
  </si>
  <si>
    <t>قيمة المشروع (ريال)</t>
  </si>
  <si>
    <t>نسبة الإنجاز (%)</t>
  </si>
  <si>
    <t>رابط مستند بداية المشروع</t>
  </si>
  <si>
    <t>رابط مستند إيقاف المشروع</t>
  </si>
  <si>
    <t>رابط مستند استئناف المشروع</t>
  </si>
  <si>
    <t>رابط مستند تمديد المشروع</t>
  </si>
  <si>
    <t>رابط مستند قيمة المشروع</t>
  </si>
  <si>
    <t>مركز جازان</t>
  </si>
  <si>
    <t>إنشاء وتجهيز مركز الخدمات التسويقية للمنتجات الزراعية بمنطقة جازان</t>
  </si>
  <si>
    <t>مدارات</t>
  </si>
  <si>
    <t>جاري</t>
  </si>
  <si>
    <t>مركز عسير</t>
  </si>
  <si>
    <t>إنشاء وتجهيز مركز الخدمات التسويقية للمنتجات الزراعية بمنطقة عسير</t>
  </si>
  <si>
    <t>2023-03-15</t>
  </si>
  <si>
    <t>2023-11-01</t>
  </si>
  <si>
    <t>2024-01-10</t>
  </si>
  <si>
    <t>2025-09-15</t>
  </si>
  <si>
    <t>مركز الباحة</t>
  </si>
  <si>
    <t>إنشاء وتجهيز مركز الخدمات التسويقية للمنتجات الزراعية بمنطقة الباحة</t>
  </si>
  <si>
    <t>متوقف</t>
  </si>
  <si>
    <t>2023-01-10</t>
  </si>
  <si>
    <t>2024-06-01</t>
  </si>
  <si>
    <t>2025-05-20</t>
  </si>
  <si>
    <t>مركز القصيم</t>
  </si>
  <si>
    <t>إنشاء وتجهيز مركز الخدمات التسويقية للمنتجات الزراعية بمنطقة القصيم</t>
  </si>
  <si>
    <t>المنظور الشامل</t>
  </si>
  <si>
    <t>2023-05-01</t>
  </si>
  <si>
    <t>2025-12-01</t>
  </si>
  <si>
    <t>مركز حائل</t>
  </si>
  <si>
    <t>إنشاء وتجهيز مركز الخدمات التسويقية للمنتجات الزراعية بمنطقة حائل</t>
  </si>
  <si>
    <t>2023-04-01</t>
  </si>
  <si>
    <t>2023-09-01</t>
  </si>
  <si>
    <t>2023-12-15</t>
  </si>
  <si>
    <t>2025-10-10</t>
  </si>
  <si>
    <t>اسم المشروع</t>
  </si>
  <si>
    <t>رقم المستخلص</t>
  </si>
  <si>
    <t>مبلغ المستخلص (ريال)</t>
  </si>
  <si>
    <t>تاريخ رفع الطلب (ألفا ديم)</t>
  </si>
  <si>
    <t>تاريخ مكتب إدارة المشاريع (ريف)</t>
  </si>
  <si>
    <t>تاريخ مراجعة 1 الاستشاري</t>
  </si>
  <si>
    <t>تاريخ مراجعة استلام الاستشاري (مهندس الموقع)</t>
  </si>
  <si>
    <t>تاريخ مراجعة 2 الاستشاري</t>
  </si>
  <si>
    <t>تاريخ مراجعة إدارة المشاريع (ريف) النهائية</t>
  </si>
  <si>
    <t>رابط الطلب في منصة ريف</t>
  </si>
  <si>
    <t>2023-04-05</t>
  </si>
  <si>
    <t>2023-04-12</t>
  </si>
  <si>
    <t>2023-04-20</t>
  </si>
  <si>
    <t>2023-04-28</t>
  </si>
  <si>
    <t>2023-05-05</t>
  </si>
  <si>
    <t>https://example.com/reef/jazan-1</t>
  </si>
  <si>
    <t>2023-08-01</t>
  </si>
  <si>
    <t>2023-08-06</t>
  </si>
  <si>
    <t>2023-08-14</t>
  </si>
  <si>
    <t>2023-05-10</t>
  </si>
  <si>
    <t>2023-05-15</t>
  </si>
  <si>
    <t>2023-05-22</t>
  </si>
  <si>
    <t>2023-05-30</t>
  </si>
  <si>
    <t>2023-06-05</t>
  </si>
  <si>
    <t>2023-06-10</t>
  </si>
  <si>
    <t>2024-02-01</t>
  </si>
  <si>
    <t>2024-02-06</t>
  </si>
  <si>
    <t>2023-03-01</t>
  </si>
  <si>
    <t>2023-03-06</t>
  </si>
  <si>
    <t>2023-03-14</t>
  </si>
  <si>
    <t>2023-03-22</t>
  </si>
  <si>
    <t>2023-03-28</t>
  </si>
  <si>
    <t>2023-04-02</t>
  </si>
  <si>
    <t>2023-07-01</t>
  </si>
  <si>
    <t>2023-07-05</t>
  </si>
  <si>
    <t>2023-07-11</t>
  </si>
  <si>
    <t>2023-07-18</t>
  </si>
  <si>
    <t>2023-07-25</t>
  </si>
  <si>
    <t>2024-01-15</t>
  </si>
  <si>
    <t>2024-01-20</t>
  </si>
  <si>
    <t>2024-01-28</t>
  </si>
  <si>
    <t>2023-06-01</t>
  </si>
  <si>
    <t>2023-06-12</t>
  </si>
  <si>
    <t>2023-06-19</t>
  </si>
  <si>
    <t>الحالة في منصة اعتماد</t>
  </si>
  <si>
    <t>رابط مستندات المستخلص</t>
  </si>
  <si>
    <t>تم الصرف</t>
  </si>
  <si>
    <t>https://example.com/etimad/jazan-1</t>
  </si>
  <si>
    <r>
      <rPr>
        <sz val="11"/>
        <color theme="1"/>
        <rFont val="FreeSans"/>
        <family val="2"/>
      </rPr>
      <t xml:space="preserve">تدقيق المطالبة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قبول الطلب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</si>
  <si>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FreeSans"/>
        <family val="2"/>
      </rPr>
      <t xml:space="preserve">تسجيل مطالبة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 الطلب</t>
    </r>
    <r>
      <rPr>
        <sz val="11"/>
        <color theme="1"/>
        <rFont val="Calibri"/>
        <family val="2"/>
        <charset val="1"/>
      </rPr>
      <t>)</t>
    </r>
  </si>
  <si>
    <t>اعتماد المطالبة</t>
  </si>
  <si>
    <t>تحويل أمر الدفع لوزارة المالية</t>
  </si>
  <si>
    <r>
      <rPr>
        <sz val="11"/>
        <color theme="1"/>
        <rFont val="FreeSans"/>
        <family val="2"/>
      </rPr>
      <t xml:space="preserve">إرفاق شهادة الإنجاز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قبول الطلب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</si>
  <si>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FreeSans"/>
        <family val="2"/>
      </rPr>
      <t xml:space="preserve">تسجيل أمر صرف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</t>
    </r>
    <r>
      <rPr>
        <sz val="11"/>
        <color theme="1"/>
        <rFont val="Calibri"/>
        <family val="2"/>
        <charset val="1"/>
      </rPr>
      <t>)</t>
    </r>
  </si>
  <si>
    <t>اعتماد مدير الإدارة المالية لأمر الصرف</t>
  </si>
  <si>
    <t>اعتماد صاحب الصلاحية النهائي لأمر الصرف</t>
  </si>
  <si>
    <t>اعتماد المراقب المالي لأمر الصرف</t>
  </si>
  <si>
    <r>
      <rPr>
        <sz val="11"/>
        <color theme="1"/>
        <rFont val="FreeSans"/>
        <family val="2"/>
      </rPr>
      <t xml:space="preserve">أمر صرف معتمد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مطالبة معتمدة</t>
    </r>
  </si>
  <si>
    <r>
      <rPr>
        <sz val="11"/>
        <color theme="1"/>
        <rFont val="FreeSans"/>
        <family val="2"/>
      </rPr>
      <t xml:space="preserve">تسجيل أمر دفع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</t>
    </r>
    <r>
      <rPr>
        <sz val="11"/>
        <color theme="1"/>
        <rFont val="Calibri"/>
        <family val="2"/>
        <charset val="1"/>
      </rPr>
      <t>)</t>
    </r>
  </si>
  <si>
    <t>اعتماد مدقق أمر الدفع</t>
  </si>
  <si>
    <t>اعتماد مدير الإدارة المالية لأمر الدفع</t>
  </si>
  <si>
    <t>اعتماد صاحب الصلاحية النهائي لأمر الدفع</t>
  </si>
  <si>
    <t>اعتماد المراقب المالي لأمر الدفع</t>
  </si>
  <si>
    <t>رقم المناقلة</t>
  </si>
  <si>
    <t>مبلغ المناقلة (ريال)</t>
  </si>
  <si>
    <t>الإجراء الحالي</t>
  </si>
  <si>
    <t>رابط المستند</t>
  </si>
  <si>
    <t>بانتظار اعتماد الجهة المالية</t>
  </si>
  <si>
    <t>معتمدة</t>
  </si>
  <si>
    <t>قيد المراجعة الفنية</t>
  </si>
  <si>
    <t>رقم المستحدث</t>
  </si>
  <si>
    <t>مبلغ المستحدث (ريال)</t>
  </si>
  <si>
    <t>معتمد</t>
  </si>
  <si>
    <t>بانتظار موافقة الاستشاري</t>
  </si>
  <si>
    <t>قيد الدراسة</t>
  </si>
  <si>
    <t>التاريخ</t>
  </si>
  <si>
    <t>المهمة / الإجراء</t>
  </si>
  <si>
    <t>زيارة ميدانية لمتابعة نسبة الإنجاز</t>
  </si>
  <si>
    <t>2024-02-14</t>
  </si>
  <si>
    <t>رفع المستخلص الثاني على منصة ريف</t>
  </si>
  <si>
    <t>إيقاف الأعمال بسبب تعديل المخطط</t>
  </si>
  <si>
    <t>استئناف الأعمال بعد اعتماد المخطط المعدل</t>
  </si>
  <si>
    <t>إيقاف المشروع لحين حسم مناقلة الأرض</t>
  </si>
  <si>
    <t>استلام المرحلة الإنشائية من المقاول</t>
  </si>
  <si>
    <t>استئناف الأعمال بعد تمديد المدة</t>
  </si>
  <si>
    <t>https://portal.reefpmo.com/project-requests/78bd135c-98fb-4080-8cf1-067b251a8655/details</t>
  </si>
  <si>
    <t>https://1drv.ms/b/c/a23d68824372644b/IQDtbYjG0iWiQqYd4ema8vn5AQW0PzUx8R9vdH_Eq8IXFTE?e=PXAWo7</t>
  </si>
  <si>
    <t>https://1drv.ms/b/c/a23d68824372644b/IQDd_ChAnOXfTK12KMXs-5tjAbC4Tb7pjbWO_pNzSGe0LUw?e=99q3MF</t>
  </si>
  <si>
    <t>https://1drv.ms/b/c/a23d68824372644b/IQBhEtn0JAVqToJHYpT6DoEKATDQm4qIIpGF6MnBJ6pdMU8?e=D1OcK8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</si>
</sst>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"/>
    </font>
    <font>
      <b/>
      <sz val="14"/>
      <color rgb="FF2F5D5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FreeSans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FFF6E0"/>
        <bgColor rgb="FFFFFFFF"/>
      </patternFill>
    </fill>
    <fill>
      <patternFill patternType="solid">
        <fgColor rgb="FFEAF2ED"/>
        <bgColor rgb="FFFFF6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1" xfId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5" fillId="0" borderId="0" xfId="1" applyAlignment="1">
      <alignment wrapText="1"/>
    </xf>
    <xf numFmtId="0" fontId="5" fillId="4" borderId="1" xfId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A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a23d68824372644b/IQBhEtn0JAVqToJHYpT6DoEKATDQm4qIIpGF6MnBJ6pdMU8?e=D1OcK8" TargetMode="External"/><Relationship Id="rId2" Type="http://schemas.openxmlformats.org/officeDocument/2006/relationships/hyperlink" Target="https://1drv.ms/b/c/a23d68824372644b/IQDd_ChAnOXfTK12KMXs-5tjAbC4Tb7pjbWO_pNzSGe0LUw?e=99q3MF" TargetMode="External"/><Relationship Id="rId1" Type="http://schemas.openxmlformats.org/officeDocument/2006/relationships/hyperlink" Target="https://1drv.ms/b/c/a23d68824372644b/IQDtbYjG0iWiQqYd4ema8vn5AQW0PzUx8R9vdH_Eq8IXFTE?e=PXAWo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reefpmo.com/project-requests/78bd135c-98fb-4080-8cf1-067b251a8655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rightToLeft="1" zoomScaleNormal="100" workbookViewId="0"/>
  </sheetViews>
  <sheetFormatPr defaultColWidth="8.6640625" defaultRowHeight="14.25"/>
  <cols>
    <col min="1" max="1" width="3" customWidth="1"/>
    <col min="2" max="2" width="100" customWidth="1"/>
  </cols>
  <sheetData>
    <row r="2" spans="2:2" ht="17.649999999999999">
      <c r="B2" s="1" t="s">
        <v>0</v>
      </c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/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rightToLeft="1" tabSelected="1" topLeftCell="G1" zoomScaleNormal="100" workbookViewId="0">
      <pane ySplit="1" topLeftCell="A2" activePane="bottomLeft" state="frozen"/>
      <selection pane="bottomLeft" activeCell="Q3" sqref="Q3"/>
    </sheetView>
  </sheetViews>
  <sheetFormatPr defaultColWidth="8.6640625" defaultRowHeight="14.25"/>
  <cols>
    <col min="1" max="1" width="8.73046875" bestFit="1" customWidth="1"/>
    <col min="2" max="2" width="45.73046875" bestFit="1" customWidth="1"/>
    <col min="3" max="3" width="10.19921875" bestFit="1" customWidth="1"/>
    <col min="4" max="4" width="5.73046875" bestFit="1" customWidth="1"/>
    <col min="5" max="7" width="9.9296875" bestFit="1" customWidth="1"/>
    <col min="8" max="8" width="6.73046875" bestFit="1" customWidth="1"/>
    <col min="9" max="9" width="9.9296875" bestFit="1" customWidth="1"/>
    <col min="10" max="10" width="8.73046875" bestFit="1" customWidth="1"/>
    <col min="11" max="11" width="6.59765625" bestFit="1" customWidth="1"/>
    <col min="12" max="12" width="34.06640625" bestFit="1" customWidth="1"/>
    <col min="13" max="13" width="10.1328125" bestFit="1" customWidth="1"/>
    <col min="14" max="14" width="10.9296875" bestFit="1" customWidth="1"/>
    <col min="15" max="15" width="10" bestFit="1" customWidth="1"/>
    <col min="16" max="16" width="34.59765625" bestFit="1" customWidth="1"/>
  </cols>
  <sheetData>
    <row r="1" spans="1:16" ht="36.7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</row>
    <row r="2" spans="1:16" ht="156.75">
      <c r="A2" s="4" t="s">
        <v>29</v>
      </c>
      <c r="B2" s="4" t="s">
        <v>30</v>
      </c>
      <c r="C2" s="4" t="s">
        <v>31</v>
      </c>
      <c r="D2" s="4" t="s">
        <v>41</v>
      </c>
      <c r="E2" s="9">
        <v>45567</v>
      </c>
      <c r="F2" s="9">
        <v>45890</v>
      </c>
      <c r="G2" s="5"/>
      <c r="H2" s="5"/>
      <c r="I2" s="5"/>
      <c r="J2" s="5">
        <v>25255534.379999999</v>
      </c>
      <c r="K2" s="5">
        <v>50</v>
      </c>
      <c r="L2" s="10" t="s">
        <v>144</v>
      </c>
      <c r="M2" s="11" t="s">
        <v>142</v>
      </c>
      <c r="N2" s="12"/>
      <c r="O2" s="12"/>
      <c r="P2" s="11" t="s">
        <v>143</v>
      </c>
    </row>
    <row r="3" spans="1:16">
      <c r="A3" s="4" t="s">
        <v>33</v>
      </c>
      <c r="B3" s="4" t="s">
        <v>34</v>
      </c>
      <c r="C3" s="4" t="s">
        <v>31</v>
      </c>
      <c r="D3" s="4" t="s">
        <v>32</v>
      </c>
      <c r="E3" s="5" t="s">
        <v>35</v>
      </c>
      <c r="F3" s="5" t="s">
        <v>36</v>
      </c>
      <c r="G3" s="5" t="s">
        <v>37</v>
      </c>
      <c r="H3" s="5">
        <v>60</v>
      </c>
      <c r="I3" s="5" t="s">
        <v>38</v>
      </c>
      <c r="J3" s="5">
        <v>38500000</v>
      </c>
      <c r="K3" s="5">
        <v>48</v>
      </c>
      <c r="L3" s="6"/>
      <c r="M3" s="6"/>
      <c r="N3" s="6"/>
      <c r="O3" s="6"/>
      <c r="P3" s="6"/>
    </row>
    <row r="4" spans="1:16">
      <c r="A4" s="4" t="s">
        <v>39</v>
      </c>
      <c r="B4" s="4" t="s">
        <v>40</v>
      </c>
      <c r="C4" s="4" t="s">
        <v>31</v>
      </c>
      <c r="D4" s="4" t="s">
        <v>41</v>
      </c>
      <c r="E4" s="5" t="s">
        <v>42</v>
      </c>
      <c r="F4" s="5" t="s">
        <v>43</v>
      </c>
      <c r="G4" s="5"/>
      <c r="H4" s="5">
        <v>0</v>
      </c>
      <c r="I4" s="5" t="s">
        <v>44</v>
      </c>
      <c r="J4" s="5">
        <v>31000000</v>
      </c>
      <c r="K4" s="5">
        <v>55</v>
      </c>
      <c r="L4" s="6"/>
      <c r="M4" s="6"/>
      <c r="N4" s="6"/>
      <c r="O4" s="6"/>
      <c r="P4" s="6"/>
    </row>
    <row r="5" spans="1:16">
      <c r="A5" s="4" t="s">
        <v>45</v>
      </c>
      <c r="B5" s="4" t="s">
        <v>46</v>
      </c>
      <c r="C5" s="4" t="s">
        <v>47</v>
      </c>
      <c r="D5" s="4" t="s">
        <v>32</v>
      </c>
      <c r="E5" s="5" t="s">
        <v>48</v>
      </c>
      <c r="F5" s="5"/>
      <c r="G5" s="5"/>
      <c r="H5" s="5">
        <v>45</v>
      </c>
      <c r="I5" s="5" t="s">
        <v>49</v>
      </c>
      <c r="J5" s="5">
        <v>45750000</v>
      </c>
      <c r="K5" s="5">
        <v>40</v>
      </c>
      <c r="L5" s="6"/>
      <c r="M5" s="6"/>
      <c r="N5" s="6"/>
      <c r="O5" s="6"/>
      <c r="P5" s="6"/>
    </row>
    <row r="6" spans="1:16">
      <c r="A6" s="4" t="s">
        <v>50</v>
      </c>
      <c r="B6" s="4" t="s">
        <v>51</v>
      </c>
      <c r="C6" s="4" t="s">
        <v>47</v>
      </c>
      <c r="D6" s="4" t="s">
        <v>32</v>
      </c>
      <c r="E6" s="5" t="s">
        <v>52</v>
      </c>
      <c r="F6" s="5" t="s">
        <v>53</v>
      </c>
      <c r="G6" s="5" t="s">
        <v>54</v>
      </c>
      <c r="H6" s="5">
        <v>20</v>
      </c>
      <c r="I6" s="5" t="s">
        <v>55</v>
      </c>
      <c r="J6" s="5">
        <v>36200000</v>
      </c>
      <c r="K6" s="5">
        <v>58</v>
      </c>
      <c r="L6" s="6"/>
      <c r="M6" s="6"/>
      <c r="N6" s="6"/>
      <c r="O6" s="6"/>
      <c r="P6" s="6"/>
    </row>
  </sheetData>
  <dataValidations count="1">
    <dataValidation type="list" sqref="D2:D6">
      <formula1>"جاري,متوقف"</formula1>
      <formula2>0</formula2>
    </dataValidation>
  </dataValidations>
  <hyperlinks>
    <hyperlink ref="M2" r:id="rId1"/>
    <hyperlink ref="P2" r:id="rId2"/>
    <hyperlink ref="L2" r:id="rId3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rightToLeft="1" topLeftCell="D1" zoomScaleNormal="100" workbookViewId="0">
      <pane ySplit="1" topLeftCell="A2" activePane="bottomLeft" state="frozen"/>
      <selection pane="bottomLeft" activeCell="I17" sqref="I17"/>
    </sheetView>
  </sheetViews>
  <sheetFormatPr defaultColWidth="8.6640625" defaultRowHeight="14.25"/>
  <cols>
    <col min="1" max="1" width="8.73046875" bestFit="1" customWidth="1"/>
    <col min="2" max="2" width="6.1328125" bestFit="1" customWidth="1"/>
    <col min="3" max="3" width="8.9296875" bestFit="1" customWidth="1"/>
    <col min="4" max="4" width="10.1328125" bestFit="1" customWidth="1"/>
    <col min="5" max="5" width="12.86328125" bestFit="1" customWidth="1"/>
    <col min="6" max="6" width="10.53125" bestFit="1" customWidth="1"/>
    <col min="7" max="7" width="18.3984375" bestFit="1" customWidth="1"/>
    <col min="8" max="8" width="10.53125" bestFit="1" customWidth="1"/>
    <col min="9" max="9" width="16.53125" bestFit="1" customWidth="1"/>
    <col min="10" max="10" width="76.86328125" bestFit="1" customWidth="1"/>
  </cols>
  <sheetData>
    <row r="1" spans="1:10" ht="41.65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</row>
    <row r="2" spans="1:10">
      <c r="A2" s="4" t="s">
        <v>29</v>
      </c>
      <c r="B2" s="5">
        <v>1</v>
      </c>
      <c r="C2" s="5">
        <v>1200000</v>
      </c>
      <c r="D2" s="5" t="s">
        <v>52</v>
      </c>
      <c r="E2" s="5" t="s">
        <v>66</v>
      </c>
      <c r="F2" s="5" t="s">
        <v>67</v>
      </c>
      <c r="G2" s="5" t="s">
        <v>68</v>
      </c>
      <c r="H2" s="5" t="s">
        <v>69</v>
      </c>
      <c r="I2" s="5" t="s">
        <v>70</v>
      </c>
      <c r="J2" s="6" t="s">
        <v>71</v>
      </c>
    </row>
    <row r="3" spans="1:10">
      <c r="A3" s="4" t="s">
        <v>29</v>
      </c>
      <c r="B3" s="5">
        <v>2</v>
      </c>
      <c r="C3" s="5">
        <v>1500000</v>
      </c>
      <c r="D3" s="5" t="s">
        <v>72</v>
      </c>
      <c r="E3" s="5" t="s">
        <v>73</v>
      </c>
      <c r="F3" s="5" t="s">
        <v>74</v>
      </c>
      <c r="G3" s="5"/>
      <c r="H3" s="5"/>
      <c r="I3" s="5"/>
      <c r="J3" s="6"/>
    </row>
    <row r="4" spans="1:10">
      <c r="A4" s="4" t="s">
        <v>33</v>
      </c>
      <c r="B4" s="5">
        <v>1</v>
      </c>
      <c r="C4" s="5">
        <v>980000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6"/>
    </row>
    <row r="5" spans="1:10">
      <c r="A5" s="4" t="s">
        <v>33</v>
      </c>
      <c r="B5" s="5">
        <v>2</v>
      </c>
      <c r="C5" s="5">
        <v>1100000</v>
      </c>
      <c r="D5" s="5" t="s">
        <v>81</v>
      </c>
      <c r="E5" s="5" t="s">
        <v>82</v>
      </c>
      <c r="F5" s="5"/>
      <c r="G5" s="5"/>
      <c r="H5" s="5"/>
      <c r="I5" s="5"/>
      <c r="J5" s="6"/>
    </row>
    <row r="6" spans="1:10">
      <c r="A6" s="4" t="s">
        <v>39</v>
      </c>
      <c r="B6" s="5">
        <v>1</v>
      </c>
      <c r="C6" s="5">
        <v>750000</v>
      </c>
      <c r="D6" s="5" t="s">
        <v>83</v>
      </c>
      <c r="E6" s="5" t="s">
        <v>84</v>
      </c>
      <c r="F6" s="5" t="s">
        <v>85</v>
      </c>
      <c r="G6" s="5" t="s">
        <v>86</v>
      </c>
      <c r="H6" s="5" t="s">
        <v>87</v>
      </c>
      <c r="I6" s="5" t="s">
        <v>88</v>
      </c>
      <c r="J6" s="8" t="s">
        <v>141</v>
      </c>
    </row>
    <row r="7" spans="1:10">
      <c r="A7" s="4" t="s">
        <v>45</v>
      </c>
      <c r="B7" s="5">
        <v>1</v>
      </c>
      <c r="C7" s="5">
        <v>1650000</v>
      </c>
      <c r="D7" s="5" t="s">
        <v>89</v>
      </c>
      <c r="E7" s="5" t="s">
        <v>90</v>
      </c>
      <c r="F7" s="5" t="s">
        <v>91</v>
      </c>
      <c r="G7" s="5" t="s">
        <v>92</v>
      </c>
      <c r="H7" s="5" t="s">
        <v>93</v>
      </c>
      <c r="I7" s="5" t="s">
        <v>72</v>
      </c>
      <c r="J7" s="6"/>
    </row>
    <row r="8" spans="1:10">
      <c r="A8" s="4" t="s">
        <v>45</v>
      </c>
      <c r="B8" s="5">
        <v>2</v>
      </c>
      <c r="C8" s="5">
        <v>1400000</v>
      </c>
      <c r="D8" s="5" t="s">
        <v>94</v>
      </c>
      <c r="E8" s="5" t="s">
        <v>95</v>
      </c>
      <c r="F8" s="5" t="s">
        <v>96</v>
      </c>
      <c r="G8" s="5"/>
      <c r="H8" s="5"/>
      <c r="I8" s="5"/>
      <c r="J8" s="6"/>
    </row>
    <row r="9" spans="1:10">
      <c r="A9" s="4" t="s">
        <v>50</v>
      </c>
      <c r="B9" s="5">
        <v>1</v>
      </c>
      <c r="C9" s="5">
        <v>1050000</v>
      </c>
      <c r="D9" s="5" t="s">
        <v>97</v>
      </c>
      <c r="E9" s="5" t="s">
        <v>79</v>
      </c>
      <c r="F9" s="5" t="s">
        <v>98</v>
      </c>
      <c r="G9" s="5" t="s">
        <v>99</v>
      </c>
      <c r="H9" s="5"/>
      <c r="I9" s="5"/>
      <c r="J9" s="6"/>
    </row>
  </sheetData>
  <hyperlinks>
    <hyperlink ref="J6" r:id="rId1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rightToLeft="1"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14" customWidth="1"/>
    <col min="2" max="2" width="12" customWidth="1"/>
    <col min="3" max="3" width="18" customWidth="1"/>
    <col min="4" max="4" width="40" customWidth="1"/>
    <col min="5" max="5" width="28" customWidth="1"/>
  </cols>
  <sheetData>
    <row r="1" spans="1:5">
      <c r="A1" s="3" t="s">
        <v>56</v>
      </c>
      <c r="B1" s="3" t="s">
        <v>57</v>
      </c>
      <c r="C1" s="3" t="s">
        <v>58</v>
      </c>
      <c r="D1" s="3" t="s">
        <v>100</v>
      </c>
      <c r="E1" s="3" t="s">
        <v>101</v>
      </c>
    </row>
    <row r="2" spans="1:5">
      <c r="A2" s="4" t="s">
        <v>29</v>
      </c>
      <c r="B2" s="5">
        <v>1</v>
      </c>
      <c r="C2" s="5">
        <v>1200000</v>
      </c>
      <c r="D2" s="4" t="s">
        <v>102</v>
      </c>
      <c r="E2" s="6" t="s">
        <v>103</v>
      </c>
    </row>
    <row r="3" spans="1:5">
      <c r="A3" s="4" t="s">
        <v>29</v>
      </c>
      <c r="B3" s="5">
        <v>2</v>
      </c>
      <c r="C3" s="5">
        <v>1500000</v>
      </c>
      <c r="D3" s="4" t="s">
        <v>104</v>
      </c>
      <c r="E3" s="6"/>
    </row>
    <row r="4" spans="1:5">
      <c r="A4" s="4" t="s">
        <v>33</v>
      </c>
      <c r="B4" s="5">
        <v>1</v>
      </c>
      <c r="C4" s="5">
        <v>980000</v>
      </c>
      <c r="D4" s="4" t="s">
        <v>102</v>
      </c>
      <c r="E4" s="6"/>
    </row>
    <row r="5" spans="1:5">
      <c r="A5" s="4" t="s">
        <v>33</v>
      </c>
      <c r="B5" s="5">
        <v>2</v>
      </c>
      <c r="C5" s="5">
        <v>1100000</v>
      </c>
      <c r="D5" s="4" t="s">
        <v>105</v>
      </c>
      <c r="E5" s="6"/>
    </row>
    <row r="6" spans="1:5">
      <c r="A6" s="4" t="s">
        <v>39</v>
      </c>
      <c r="B6" s="5">
        <v>1</v>
      </c>
      <c r="C6" s="5">
        <v>750000</v>
      </c>
      <c r="D6" s="4" t="s">
        <v>102</v>
      </c>
      <c r="E6" s="6"/>
    </row>
    <row r="7" spans="1:5">
      <c r="A7" s="4" t="s">
        <v>45</v>
      </c>
      <c r="B7" s="5">
        <v>1</v>
      </c>
      <c r="C7" s="5">
        <v>1650000</v>
      </c>
      <c r="D7" s="4" t="s">
        <v>102</v>
      </c>
      <c r="E7" s="6"/>
    </row>
    <row r="8" spans="1:5">
      <c r="A8" s="4" t="s">
        <v>45</v>
      </c>
      <c r="B8" s="5">
        <v>2</v>
      </c>
      <c r="C8" s="5">
        <v>1400000</v>
      </c>
      <c r="D8" s="4" t="s">
        <v>106</v>
      </c>
      <c r="E8" s="6"/>
    </row>
    <row r="9" spans="1:5">
      <c r="A9" s="4" t="s">
        <v>50</v>
      </c>
      <c r="B9" s="5">
        <v>1</v>
      </c>
      <c r="C9" s="5">
        <v>1050000</v>
      </c>
      <c r="D9" s="4" t="s">
        <v>107</v>
      </c>
      <c r="E9" s="6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القوائم!$B$1:$B$16</xm:f>
          </x14:formula1>
          <x14:formula2>
            <xm:f>0</xm:f>
          </x14:formula2>
          <xm:sqref>D2:D9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/>
  </sheetViews>
  <sheetFormatPr defaultColWidth="8.6640625" defaultRowHeight="14.25"/>
  <sheetData>
    <row r="1" spans="1:2">
      <c r="A1" s="7" t="s">
        <v>32</v>
      </c>
      <c r="B1" s="7" t="s">
        <v>105</v>
      </c>
    </row>
    <row r="2" spans="1:2">
      <c r="A2" s="7" t="s">
        <v>41</v>
      </c>
      <c r="B2" s="7" t="s">
        <v>108</v>
      </c>
    </row>
    <row r="3" spans="1:2">
      <c r="B3" s="7" t="s">
        <v>104</v>
      </c>
    </row>
    <row r="4" spans="1:2">
      <c r="B4" s="7" t="s">
        <v>106</v>
      </c>
    </row>
    <row r="5" spans="1:2">
      <c r="B5" s="7" t="s">
        <v>109</v>
      </c>
    </row>
    <row r="6" spans="1:2">
      <c r="B6" s="7" t="s">
        <v>110</v>
      </c>
    </row>
    <row r="7" spans="1:2">
      <c r="B7" s="7" t="s">
        <v>111</v>
      </c>
    </row>
    <row r="8" spans="1:2">
      <c r="B8" s="7" t="s">
        <v>112</v>
      </c>
    </row>
    <row r="9" spans="1:2">
      <c r="B9" s="7" t="s">
        <v>113</v>
      </c>
    </row>
    <row r="10" spans="1:2">
      <c r="B10" s="7" t="s">
        <v>114</v>
      </c>
    </row>
    <row r="11" spans="1:2">
      <c r="B11" s="7" t="s">
        <v>115</v>
      </c>
    </row>
    <row r="12" spans="1:2">
      <c r="B12" s="7" t="s">
        <v>116</v>
      </c>
    </row>
    <row r="13" spans="1:2">
      <c r="B13" s="7" t="s">
        <v>117</v>
      </c>
    </row>
    <row r="14" spans="1:2">
      <c r="B14" s="7" t="s">
        <v>118</v>
      </c>
    </row>
    <row r="15" spans="1:2">
      <c r="B15" s="7" t="s">
        <v>107</v>
      </c>
    </row>
    <row r="16" spans="1:2">
      <c r="B16" s="7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rightToLeft="1"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56</v>
      </c>
      <c r="B1" s="3" t="s">
        <v>119</v>
      </c>
      <c r="C1" s="3" t="s">
        <v>120</v>
      </c>
      <c r="D1" s="3" t="s">
        <v>121</v>
      </c>
      <c r="E1" s="3" t="s">
        <v>122</v>
      </c>
    </row>
    <row r="2" spans="1:5">
      <c r="A2" s="4" t="s">
        <v>29</v>
      </c>
      <c r="B2" s="5">
        <v>1</v>
      </c>
      <c r="C2" s="5">
        <v>250000</v>
      </c>
      <c r="D2" s="4" t="s">
        <v>123</v>
      </c>
      <c r="E2" s="6"/>
    </row>
    <row r="3" spans="1:5">
      <c r="A3" s="4" t="s">
        <v>33</v>
      </c>
      <c r="B3" s="5">
        <v>1</v>
      </c>
      <c r="C3" s="5">
        <v>180000</v>
      </c>
      <c r="D3" s="4" t="s">
        <v>124</v>
      </c>
      <c r="E3" s="6"/>
    </row>
    <row r="4" spans="1:5">
      <c r="A4" s="4" t="s">
        <v>33</v>
      </c>
      <c r="B4" s="5">
        <v>2</v>
      </c>
      <c r="C4" s="5">
        <v>210000</v>
      </c>
      <c r="D4" s="4" t="s">
        <v>125</v>
      </c>
      <c r="E4" s="6"/>
    </row>
    <row r="5" spans="1:5">
      <c r="A5" s="4" t="s">
        <v>45</v>
      </c>
      <c r="B5" s="5">
        <v>1</v>
      </c>
      <c r="C5" s="5">
        <v>320000</v>
      </c>
      <c r="D5" s="4" t="s">
        <v>125</v>
      </c>
      <c r="E5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56</v>
      </c>
      <c r="B1" s="3" t="s">
        <v>126</v>
      </c>
      <c r="C1" s="3" t="s">
        <v>127</v>
      </c>
      <c r="D1" s="3" t="s">
        <v>121</v>
      </c>
      <c r="E1" s="3" t="s">
        <v>122</v>
      </c>
    </row>
    <row r="2" spans="1:5">
      <c r="A2" s="4" t="s">
        <v>29</v>
      </c>
      <c r="B2" s="5">
        <v>1</v>
      </c>
      <c r="C2" s="5">
        <v>95000</v>
      </c>
      <c r="D2" s="4" t="s">
        <v>128</v>
      </c>
      <c r="E2" s="6"/>
    </row>
    <row r="3" spans="1:5">
      <c r="A3" s="4" t="s">
        <v>39</v>
      </c>
      <c r="B3" s="5">
        <v>1</v>
      </c>
      <c r="C3" s="5">
        <v>60000</v>
      </c>
      <c r="D3" s="4" t="s">
        <v>129</v>
      </c>
      <c r="E3" s="6"/>
    </row>
    <row r="4" spans="1:5">
      <c r="A4" s="4" t="s">
        <v>50</v>
      </c>
      <c r="B4" s="5">
        <v>1</v>
      </c>
      <c r="C4" s="5">
        <v>110000</v>
      </c>
      <c r="D4" s="4" t="s">
        <v>130</v>
      </c>
      <c r="E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zoomScaleNormal="100" workbookViewId="0">
      <pane ySplit="1" topLeftCell="A2" activePane="bottomLeft" state="frozen"/>
      <selection pane="bottomLeft" activeCell="B16" sqref="B16"/>
    </sheetView>
  </sheetViews>
  <sheetFormatPr defaultColWidth="8.6640625" defaultRowHeight="14.25"/>
  <cols>
    <col min="1" max="2" width="14" customWidth="1"/>
    <col min="3" max="3" width="50" customWidth="1"/>
  </cols>
  <sheetData>
    <row r="1" spans="1:3">
      <c r="A1" s="3" t="s">
        <v>56</v>
      </c>
      <c r="B1" s="3" t="s">
        <v>131</v>
      </c>
      <c r="C1" s="3" t="s">
        <v>132</v>
      </c>
    </row>
    <row r="2" spans="1:3">
      <c r="A2" s="4" t="s">
        <v>29</v>
      </c>
      <c r="B2" s="5" t="s">
        <v>37</v>
      </c>
      <c r="C2" s="4" t="s">
        <v>133</v>
      </c>
    </row>
    <row r="3" spans="1:3">
      <c r="A3" s="4" t="s">
        <v>29</v>
      </c>
      <c r="B3" s="5" t="s">
        <v>134</v>
      </c>
      <c r="C3" s="4" t="s">
        <v>135</v>
      </c>
    </row>
    <row r="4" spans="1:3">
      <c r="A4" s="4" t="s">
        <v>33</v>
      </c>
      <c r="B4" s="5" t="s">
        <v>36</v>
      </c>
      <c r="C4" s="4" t="s">
        <v>136</v>
      </c>
    </row>
    <row r="5" spans="1:3">
      <c r="A5" s="4" t="s">
        <v>33</v>
      </c>
      <c r="B5" s="5" t="s">
        <v>37</v>
      </c>
      <c r="C5" s="4" t="s">
        <v>137</v>
      </c>
    </row>
    <row r="6" spans="1:3">
      <c r="A6" s="4" t="s">
        <v>39</v>
      </c>
      <c r="B6" s="5" t="s">
        <v>43</v>
      </c>
      <c r="C6" s="4" t="s">
        <v>138</v>
      </c>
    </row>
    <row r="7" spans="1:3">
      <c r="A7" s="4" t="s">
        <v>45</v>
      </c>
      <c r="B7" s="5" t="s">
        <v>96</v>
      </c>
      <c r="C7" s="4" t="s">
        <v>139</v>
      </c>
    </row>
    <row r="8" spans="1:3">
      <c r="A8" s="4" t="s">
        <v>50</v>
      </c>
      <c r="B8" s="5" t="s">
        <v>54</v>
      </c>
      <c r="C8" s="4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تعليمات</vt:lpstr>
      <vt:lpstr>بيانات_المشاريع</vt:lpstr>
      <vt:lpstr>مستخلصات_ريف</vt:lpstr>
      <vt:lpstr>مستخلصات_اعتماد</vt:lpstr>
      <vt:lpstr>القوائم</vt:lpstr>
      <vt:lpstr>المناقلات</vt:lpstr>
      <vt:lpstr>المستحدثات</vt:lpstr>
      <vt:lpstr>المهام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Turki Alharbi</cp:lastModifiedBy>
  <cp:revision>0</cp:revision>
  <dcterms:created xsi:type="dcterms:W3CDTF">2026-09-08T11:22:11Z</dcterms:created>
  <dcterms:modified xsi:type="dcterms:W3CDTF">2026-09-08T20:23:29Z</dcterms:modified>
  <dc:language>en-US</dc:language>
</cp:coreProperties>
</file>